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720" yWindow="-270" windowWidth="14010" windowHeight="10350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E114" i="1" l="1"/>
  <c r="E113" i="1"/>
  <c r="D105" i="1" l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E107" i="1" l="1"/>
  <c r="N74" i="1" l="1"/>
  <c r="M73" i="1" l="1"/>
  <c r="L73" i="1"/>
  <c r="K73" i="1"/>
  <c r="B102" i="1" l="1"/>
  <c r="B101" i="1" l="1"/>
  <c r="E102" i="1"/>
  <c r="B84" i="1"/>
  <c r="C103" i="1" l="1"/>
  <c r="B103" i="1"/>
  <c r="B93" i="1" l="1"/>
  <c r="D95" i="1"/>
  <c r="D96" i="1"/>
  <c r="D97" i="1"/>
  <c r="D98" i="1"/>
  <c r="D99" i="1"/>
  <c r="D100" i="1"/>
  <c r="D101" i="1"/>
  <c r="D102" i="1"/>
  <c r="D104" i="1"/>
  <c r="E72" i="1" l="1"/>
  <c r="E40" i="1"/>
  <c r="D40" i="1"/>
  <c r="D87" i="1"/>
  <c r="K74" i="1" l="1"/>
  <c r="M74" i="1"/>
  <c r="L74" i="1"/>
  <c r="K72" i="1"/>
  <c r="D71" i="1"/>
  <c r="D72" i="1"/>
  <c r="C72" i="1"/>
  <c r="B72" i="1"/>
  <c r="B89" i="1" l="1"/>
  <c r="D88" i="1" l="1"/>
  <c r="D89" i="1"/>
  <c r="D90" i="1"/>
  <c r="D91" i="1"/>
  <c r="D92" i="1"/>
  <c r="D93" i="1"/>
  <c r="D94" i="1"/>
  <c r="B73" i="1" l="1"/>
  <c r="D73" i="1" s="1"/>
  <c r="D74" i="1"/>
  <c r="D75" i="1"/>
  <c r="D76" i="1"/>
  <c r="D77" i="1"/>
  <c r="D78" i="1"/>
  <c r="D79" i="1"/>
  <c r="D80" i="1"/>
  <c r="D81" i="1"/>
  <c r="D82" i="1"/>
  <c r="D83" i="1"/>
  <c r="D84" i="1"/>
  <c r="D103" i="1" s="1"/>
  <c r="D85" i="1"/>
  <c r="D86" i="1"/>
  <c r="B59" i="1" l="1"/>
  <c r="B61" i="1"/>
  <c r="D55" i="1" l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E54" i="1" l="1"/>
  <c r="B54" i="1"/>
  <c r="D54" i="1" s="1"/>
  <c r="C53" i="1" l="1"/>
  <c r="B53" i="1"/>
  <c r="D51" i="1"/>
  <c r="D52" i="1"/>
  <c r="D53" i="1"/>
  <c r="D45" i="1" l="1"/>
  <c r="D46" i="1"/>
  <c r="D47" i="1"/>
  <c r="D48" i="1"/>
  <c r="D49" i="1"/>
  <c r="D50" i="1"/>
  <c r="B45" i="1"/>
  <c r="C44" i="1" l="1"/>
  <c r="D43" i="1"/>
  <c r="D44" i="1"/>
  <c r="D42" i="1"/>
  <c r="D41" i="1"/>
  <c r="C16" i="1" l="1"/>
  <c r="B29" i="1"/>
  <c r="B19" i="1"/>
  <c r="B17" i="1"/>
  <c r="B12" i="1"/>
  <c r="C9" i="1"/>
  <c r="B40" i="1" l="1"/>
  <c r="C40" i="1"/>
  <c r="D37" i="1"/>
  <c r="D38" i="1"/>
  <c r="D39" i="1"/>
  <c r="D33" i="1" l="1"/>
  <c r="D34" i="1"/>
  <c r="D35" i="1"/>
  <c r="D36" i="1"/>
  <c r="C31" i="1" l="1"/>
  <c r="C29" i="1"/>
  <c r="B28" i="1"/>
  <c r="B27" i="1"/>
  <c r="C26" i="1"/>
  <c r="B26" i="1"/>
  <c r="B23" i="1"/>
  <c r="E19" i="1"/>
  <c r="B16" i="1"/>
  <c r="B14" i="1"/>
  <c r="B13" i="1"/>
  <c r="B9" i="1" l="1"/>
  <c r="C12" i="1"/>
  <c r="D12" i="1" s="1"/>
  <c r="C10" i="1"/>
  <c r="B10" i="1"/>
  <c r="D9" i="1"/>
  <c r="D6" i="1"/>
  <c r="D7" i="1"/>
  <c r="D8" i="1"/>
  <c r="D10" i="1"/>
  <c r="D11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B3" i="1"/>
  <c r="C3" i="1"/>
  <c r="D2" i="1"/>
  <c r="D4" i="1"/>
  <c r="B4" i="1"/>
  <c r="D5" i="1"/>
  <c r="C5" i="1"/>
  <c r="B5" i="1"/>
  <c r="C4" i="1"/>
  <c r="D3" i="1" l="1"/>
</calcChain>
</file>

<file path=xl/sharedStrings.xml><?xml version="1.0" encoding="utf-8"?>
<sst xmlns="http://schemas.openxmlformats.org/spreadsheetml/2006/main" count="75" uniqueCount="50">
  <si>
    <t>Дата</t>
  </si>
  <si>
    <t>Сумма ТМЗ (Сомы)</t>
  </si>
  <si>
    <t>Сумма ТМЗ ($)</t>
  </si>
  <si>
    <t>Итого</t>
  </si>
  <si>
    <t>2 авто возврат</t>
  </si>
  <si>
    <t>Дилшод</t>
  </si>
  <si>
    <t>кастрюли</t>
  </si>
  <si>
    <t>Икром</t>
  </si>
  <si>
    <t>перевел за конд</t>
  </si>
  <si>
    <t>Rodex</t>
  </si>
  <si>
    <t xml:space="preserve"> Rodex</t>
  </si>
  <si>
    <t>1 сок-ка и 1 телевизор 32 возврат</t>
  </si>
  <si>
    <t xml:space="preserve">  оплачено с кассы(Konka)</t>
  </si>
  <si>
    <t>ЗА МЯГКУЮ МЕБЕЛЬ</t>
  </si>
  <si>
    <t>S23 ультра</t>
  </si>
  <si>
    <t>бассейн и набор чай-к пиала</t>
  </si>
  <si>
    <t>Rodex компрессор</t>
  </si>
  <si>
    <t>4555 ПРИЗЫ для конкурса</t>
  </si>
  <si>
    <t xml:space="preserve"> </t>
  </si>
  <si>
    <t>Аксессуары Мавлон</t>
  </si>
  <si>
    <t>Икром Чиго</t>
  </si>
  <si>
    <t>С кассы за авто и мебель</t>
  </si>
  <si>
    <t>Икром Возврат айфон, блендер и печь</t>
  </si>
  <si>
    <t>35200 Дилшод Iphone 13 pro</t>
  </si>
  <si>
    <t xml:space="preserve">  </t>
  </si>
  <si>
    <t>за миксер</t>
  </si>
  <si>
    <t xml:space="preserve">13$ + 5000 Вохиджон отпариватель и увлажнитель </t>
  </si>
  <si>
    <t>Дониер За айфоны</t>
  </si>
  <si>
    <t>Оплата контрагентам</t>
  </si>
  <si>
    <t>оплата</t>
  </si>
  <si>
    <t>возврат</t>
  </si>
  <si>
    <t>Икромжон</t>
  </si>
  <si>
    <t>август</t>
  </si>
  <si>
    <t>сент</t>
  </si>
  <si>
    <t>возврат ЛГ м самсунг 21 ультра</t>
  </si>
  <si>
    <t>итог</t>
  </si>
  <si>
    <t>rodex</t>
  </si>
  <si>
    <t xml:space="preserve">     </t>
  </si>
  <si>
    <t>Айфоны</t>
  </si>
  <si>
    <t>Vicalina (Вохид)</t>
  </si>
  <si>
    <t>S22 Ultra</t>
  </si>
  <si>
    <t>Икром часы</t>
  </si>
  <si>
    <t>товары</t>
  </si>
  <si>
    <t>икром</t>
  </si>
  <si>
    <t>Для клиента Аристон</t>
  </si>
  <si>
    <t>Ноутбук</t>
  </si>
  <si>
    <t>162000 Дилшод</t>
  </si>
  <si>
    <t>378664 Дониер</t>
  </si>
  <si>
    <t>S22 возврат</t>
  </si>
  <si>
    <t>Мебель для клиента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</si>
</sst>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0" fontId="0" fillId="2" borderId="0" xfId="0" applyFill="1"/>
    <xf numFmtId="164" fontId="0" fillId="3" borderId="1" xfId="0" applyNumberFormat="1" applyFill="1" applyBorder="1"/>
    <xf numFmtId="0" fontId="0" fillId="3" borderId="0" xfId="0" applyFill="1"/>
    <xf numFmtId="3" fontId="0" fillId="3" borderId="0" xfId="0" applyNumberFormat="1" applyFill="1"/>
    <xf numFmtId="3" fontId="0" fillId="0" borderId="0" xfId="0" applyNumberFormat="1"/>
    <xf numFmtId="3" fontId="0" fillId="2" borderId="1" xfId="0" applyNumberFormat="1" applyFill="1" applyBorder="1"/>
    <xf numFmtId="3" fontId="0" fillId="0" borderId="1" xfId="0" applyNumberFormat="1" applyBorder="1"/>
    <xf numFmtId="0" fontId="0" fillId="4" borderId="0" xfId="0" applyFill="1"/>
    <xf numFmtId="0" fontId="0" fillId="2" borderId="0" xfId="0" applyFill="1" applyBorder="1"/>
    <xf numFmtId="164" fontId="0" fillId="4" borderId="1" xfId="0" applyNumberFormat="1" applyFill="1" applyBorder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3"/>
  <sheetViews>
    <sheetView tabSelected="1" zoomScale="85" zoomScaleNormal="85" workbookViewId="0">
      <pane ySplit="1" topLeftCell="A99" activePane="bottomLeft" state="frozen"/>
      <selection pane="bottomLeft" activeCell="B125" sqref="B125"/>
    </sheetView>
  </sheetViews>
  <sheetFormatPr defaultRowHeight="15" x14ac:dyDescent="0.25"/>
  <cols>
    <col min="1" max="1" width="17.5703125" customWidth="1"/>
    <col min="2" max="2" width="12.7109375" customWidth="1"/>
    <col min="3" max="3" width="10.42578125" customWidth="1"/>
    <col min="5" max="5" width="10.140625" customWidth="1"/>
    <col min="7" max="7" width="22.140625" customWidth="1"/>
    <col min="8" max="8" width="10.5703125" customWidth="1"/>
    <col min="9" max="9" width="15.140625" customWidth="1"/>
    <col min="11" max="11" width="1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/>
    </row>
    <row r="2" spans="1:6" x14ac:dyDescent="0.25">
      <c r="A2" s="2">
        <v>46195</v>
      </c>
      <c r="B2" s="1"/>
      <c r="C2" s="1">
        <v>4053</v>
      </c>
      <c r="D2" s="10">
        <f>(C2*88)+B2</f>
        <v>356664</v>
      </c>
      <c r="E2" s="1"/>
      <c r="F2" s="1"/>
    </row>
    <row r="3" spans="1:6" x14ac:dyDescent="0.25">
      <c r="A3" s="2">
        <v>46197</v>
      </c>
      <c r="B3" s="1">
        <f>51800+41380+51270+80000</f>
        <v>224450</v>
      </c>
      <c r="C3" s="1">
        <f>2127+2904</f>
        <v>5031</v>
      </c>
      <c r="D3" s="10">
        <f>(C3*88)+B3</f>
        <v>667178</v>
      </c>
      <c r="E3" s="1"/>
      <c r="F3" s="1"/>
    </row>
    <row r="4" spans="1:6" x14ac:dyDescent="0.25">
      <c r="A4" s="2">
        <v>46199</v>
      </c>
      <c r="B4" s="1">
        <f>53860+23590+34445+31820+28000</f>
        <v>171715</v>
      </c>
      <c r="C4" s="1">
        <f>265+4115+246</f>
        <v>4626</v>
      </c>
      <c r="D4" s="10">
        <f>(C4*88)+B4</f>
        <v>578803</v>
      </c>
      <c r="E4" s="1"/>
      <c r="F4" s="1"/>
    </row>
    <row r="5" spans="1:6" x14ac:dyDescent="0.25">
      <c r="A5" s="2">
        <v>46200</v>
      </c>
      <c r="B5" s="1">
        <f>46800</f>
        <v>46800</v>
      </c>
      <c r="C5" s="1">
        <f>4462+1167</f>
        <v>5629</v>
      </c>
      <c r="D5" s="10">
        <f>(C5*88)+B5</f>
        <v>542152</v>
      </c>
      <c r="E5" s="1"/>
      <c r="F5" s="1"/>
    </row>
    <row r="6" spans="1:6" x14ac:dyDescent="0.25">
      <c r="A6" s="2">
        <v>46201</v>
      </c>
      <c r="B6" s="1">
        <v>38200</v>
      </c>
      <c r="C6" s="1"/>
      <c r="D6" s="10">
        <f t="shared" ref="D6:D39" si="0">(C6*88)+B6</f>
        <v>38200</v>
      </c>
      <c r="E6" s="1"/>
      <c r="F6" s="1"/>
    </row>
    <row r="7" spans="1:6" x14ac:dyDescent="0.25">
      <c r="A7" s="2">
        <v>46202</v>
      </c>
      <c r="B7" s="1"/>
      <c r="C7" s="1"/>
      <c r="D7" s="10">
        <f t="shared" si="0"/>
        <v>0</v>
      </c>
      <c r="E7" s="1"/>
      <c r="F7" s="1"/>
    </row>
    <row r="8" spans="1:6" x14ac:dyDescent="0.25">
      <c r="A8" s="2">
        <v>46203</v>
      </c>
      <c r="B8" s="1"/>
      <c r="C8" s="1"/>
      <c r="D8" s="10">
        <f t="shared" si="0"/>
        <v>0</v>
      </c>
      <c r="E8" s="1"/>
      <c r="F8" s="1"/>
    </row>
    <row r="9" spans="1:6" x14ac:dyDescent="0.25">
      <c r="A9" s="2">
        <v>46204</v>
      </c>
      <c r="B9" s="1">
        <f>3600+5100+24200</f>
        <v>32900</v>
      </c>
      <c r="C9" s="3">
        <f>686</f>
        <v>686</v>
      </c>
      <c r="D9" s="10">
        <f t="shared" si="0"/>
        <v>93268</v>
      </c>
      <c r="E9" s="1">
        <v>24200</v>
      </c>
      <c r="F9" s="1" t="s">
        <v>12</v>
      </c>
    </row>
    <row r="10" spans="1:6" x14ac:dyDescent="0.25">
      <c r="A10" s="2">
        <v>46205</v>
      </c>
      <c r="B10" s="1">
        <f>64070+121030+3900</f>
        <v>189000</v>
      </c>
      <c r="C10" s="1">
        <f>860+214</f>
        <v>1074</v>
      </c>
      <c r="D10" s="10">
        <f t="shared" si="0"/>
        <v>283512</v>
      </c>
      <c r="E10" s="1">
        <v>25500</v>
      </c>
      <c r="F10" s="1" t="s">
        <v>5</v>
      </c>
    </row>
    <row r="11" spans="1:6" x14ac:dyDescent="0.25">
      <c r="A11" s="2">
        <v>46206</v>
      </c>
      <c r="B11" s="1"/>
      <c r="C11" s="1"/>
      <c r="D11" s="10">
        <f t="shared" si="0"/>
        <v>0</v>
      </c>
      <c r="E11" s="1">
        <v>6000</v>
      </c>
      <c r="F11" s="1" t="s">
        <v>6</v>
      </c>
    </row>
    <row r="12" spans="1:6" x14ac:dyDescent="0.25">
      <c r="A12" s="2">
        <v>46207</v>
      </c>
      <c r="B12" s="1">
        <f>6000+4600+5100+6700+4200+3100+3200</f>
        <v>32900</v>
      </c>
      <c r="C12" s="1">
        <f>532</f>
        <v>532</v>
      </c>
      <c r="D12" s="10">
        <f t="shared" si="0"/>
        <v>79716</v>
      </c>
      <c r="E12" s="1">
        <v>11437</v>
      </c>
      <c r="F12" s="1" t="s">
        <v>11</v>
      </c>
    </row>
    <row r="13" spans="1:6" x14ac:dyDescent="0.25">
      <c r="A13" s="2">
        <v>46208</v>
      </c>
      <c r="B13" s="1">
        <f>85300+62000+49000+120000+83000+4450+660</f>
        <v>404410</v>
      </c>
      <c r="C13" s="1"/>
      <c r="D13" s="10">
        <f t="shared" si="0"/>
        <v>404410</v>
      </c>
      <c r="E13" s="1">
        <v>96800</v>
      </c>
      <c r="F13" s="1" t="s">
        <v>7</v>
      </c>
    </row>
    <row r="14" spans="1:6" x14ac:dyDescent="0.25">
      <c r="A14" s="2">
        <v>46209</v>
      </c>
      <c r="B14" s="1">
        <f>650+950+850+950</f>
        <v>3400</v>
      </c>
      <c r="C14" s="1"/>
      <c r="D14" s="10">
        <f t="shared" si="0"/>
        <v>3400</v>
      </c>
      <c r="E14" s="1"/>
      <c r="F14" s="1"/>
    </row>
    <row r="15" spans="1:6" x14ac:dyDescent="0.25">
      <c r="A15" s="2">
        <v>46210</v>
      </c>
      <c r="B15" s="1"/>
      <c r="C15" s="1"/>
      <c r="D15" s="10">
        <f t="shared" si="0"/>
        <v>0</v>
      </c>
      <c r="E15" s="1"/>
      <c r="F15" s="1"/>
    </row>
    <row r="16" spans="1:6" x14ac:dyDescent="0.25">
      <c r="A16" s="2">
        <v>46211</v>
      </c>
      <c r="B16" s="1">
        <f>4200+3720+1600+1800+1740+1360+1180+1500+7500+1600+300+300+240</f>
        <v>27040</v>
      </c>
      <c r="C16" s="1">
        <f>180+335+320+29</f>
        <v>864</v>
      </c>
      <c r="D16" s="10">
        <f t="shared" si="0"/>
        <v>103072</v>
      </c>
      <c r="E16" s="1"/>
      <c r="F16" s="1"/>
    </row>
    <row r="17" spans="1:6" x14ac:dyDescent="0.25">
      <c r="A17" s="2">
        <v>46212</v>
      </c>
      <c r="B17" s="1">
        <f>39700+50500+9680</f>
        <v>99880</v>
      </c>
      <c r="C17" s="1"/>
      <c r="D17" s="10">
        <f t="shared" si="0"/>
        <v>99880</v>
      </c>
      <c r="E17" s="1"/>
      <c r="F17" s="1"/>
    </row>
    <row r="18" spans="1:6" x14ac:dyDescent="0.25">
      <c r="A18" s="2">
        <v>46213</v>
      </c>
      <c r="B18" s="1"/>
      <c r="C18" s="1"/>
      <c r="D18" s="10">
        <f t="shared" si="0"/>
        <v>0</v>
      </c>
      <c r="E18" s="1"/>
      <c r="F18" s="1"/>
    </row>
    <row r="19" spans="1:6" x14ac:dyDescent="0.25">
      <c r="A19" s="2">
        <v>46214</v>
      </c>
      <c r="B19" s="1">
        <f>592800+62350</f>
        <v>655150</v>
      </c>
      <c r="C19" s="1"/>
      <c r="D19" s="10">
        <f t="shared" si="0"/>
        <v>655150</v>
      </c>
      <c r="E19" s="1">
        <f>150000+8800+13000</f>
        <v>171800</v>
      </c>
      <c r="F19" s="1" t="s">
        <v>7</v>
      </c>
    </row>
    <row r="20" spans="1:6" x14ac:dyDescent="0.25">
      <c r="A20" s="2">
        <v>46215</v>
      </c>
      <c r="B20" s="1"/>
      <c r="C20" s="1"/>
      <c r="D20" s="10">
        <f t="shared" si="0"/>
        <v>0</v>
      </c>
      <c r="E20" s="1"/>
      <c r="F20" s="1"/>
    </row>
    <row r="21" spans="1:6" x14ac:dyDescent="0.25">
      <c r="A21" s="2">
        <v>46216</v>
      </c>
      <c r="B21" s="1">
        <v>46330</v>
      </c>
      <c r="C21" s="1"/>
      <c r="D21" s="10">
        <f t="shared" si="0"/>
        <v>46330</v>
      </c>
      <c r="E21" s="1"/>
      <c r="F21" s="1"/>
    </row>
    <row r="22" spans="1:6" x14ac:dyDescent="0.25">
      <c r="A22" s="2">
        <v>46217</v>
      </c>
      <c r="B22" s="1"/>
      <c r="C22" s="1">
        <v>1023</v>
      </c>
      <c r="D22" s="10">
        <f t="shared" si="0"/>
        <v>90024</v>
      </c>
      <c r="E22" s="1">
        <v>24500</v>
      </c>
      <c r="F22" s="1" t="s">
        <v>4</v>
      </c>
    </row>
    <row r="23" spans="1:6" x14ac:dyDescent="0.25">
      <c r="A23" s="2">
        <v>46218</v>
      </c>
      <c r="B23" s="1">
        <f>154528+115150+7600</f>
        <v>277278</v>
      </c>
      <c r="C23" s="1"/>
      <c r="D23" s="10">
        <f t="shared" si="0"/>
        <v>277278</v>
      </c>
      <c r="E23" s="1">
        <v>71000</v>
      </c>
      <c r="F23" s="1" t="s">
        <v>9</v>
      </c>
    </row>
    <row r="24" spans="1:6" x14ac:dyDescent="0.25">
      <c r="A24" s="2">
        <v>46219</v>
      </c>
      <c r="B24" s="1">
        <v>18000</v>
      </c>
      <c r="C24" s="1"/>
      <c r="D24" s="10">
        <f t="shared" si="0"/>
        <v>18000</v>
      </c>
      <c r="E24" s="1">
        <v>180000</v>
      </c>
      <c r="F24" s="1" t="s">
        <v>7</v>
      </c>
    </row>
    <row r="25" spans="1:6" x14ac:dyDescent="0.25">
      <c r="A25" s="2">
        <v>46220</v>
      </c>
      <c r="B25" s="1"/>
      <c r="C25" s="1"/>
      <c r="D25" s="10">
        <f t="shared" si="0"/>
        <v>0</v>
      </c>
      <c r="E25" s="1"/>
      <c r="F25" s="1"/>
    </row>
    <row r="26" spans="1:6" x14ac:dyDescent="0.25">
      <c r="A26" s="2">
        <v>46221</v>
      </c>
      <c r="B26" s="1">
        <f>3150+2850+3520+600</f>
        <v>10120</v>
      </c>
      <c r="C26" s="1">
        <f>385+370+190+88+55+36</f>
        <v>1124</v>
      </c>
      <c r="D26" s="10">
        <f t="shared" si="0"/>
        <v>109032</v>
      </c>
      <c r="E26" s="1"/>
      <c r="F26" s="1"/>
    </row>
    <row r="27" spans="1:6" x14ac:dyDescent="0.25">
      <c r="A27" s="2">
        <v>46222</v>
      </c>
      <c r="B27" s="1">
        <f>47600+19350+21500+3520</f>
        <v>91970</v>
      </c>
      <c r="C27" s="1"/>
      <c r="D27" s="10">
        <f t="shared" si="0"/>
        <v>91970</v>
      </c>
      <c r="E27" s="1"/>
      <c r="F27" s="1"/>
    </row>
    <row r="28" spans="1:6" x14ac:dyDescent="0.25">
      <c r="A28" s="2">
        <v>46223</v>
      </c>
      <c r="B28" s="1">
        <f>880+1040</f>
        <v>1920</v>
      </c>
      <c r="C28" s="1"/>
      <c r="D28" s="10">
        <f t="shared" si="0"/>
        <v>1920</v>
      </c>
      <c r="E28" s="1"/>
      <c r="F28" s="1"/>
    </row>
    <row r="29" spans="1:6" x14ac:dyDescent="0.25">
      <c r="A29" s="2">
        <v>46224</v>
      </c>
      <c r="B29" s="1">
        <f>15400+600+250+600+7040</f>
        <v>23890</v>
      </c>
      <c r="C29" s="1">
        <f>205+540+540</f>
        <v>1285</v>
      </c>
      <c r="D29" s="10">
        <f t="shared" si="0"/>
        <v>136970</v>
      </c>
      <c r="E29" s="1"/>
      <c r="F29" s="1"/>
    </row>
    <row r="30" spans="1:6" x14ac:dyDescent="0.25">
      <c r="A30" s="2">
        <v>46225</v>
      </c>
      <c r="B30" s="1"/>
      <c r="C30" s="1"/>
      <c r="D30" s="10">
        <f t="shared" si="0"/>
        <v>0</v>
      </c>
      <c r="E30" s="1"/>
      <c r="F30" s="1"/>
    </row>
    <row r="31" spans="1:6" x14ac:dyDescent="0.25">
      <c r="A31" s="2">
        <v>46226</v>
      </c>
      <c r="B31" s="1"/>
      <c r="C31" s="1">
        <f>2700+250</f>
        <v>2950</v>
      </c>
      <c r="D31" s="10">
        <f t="shared" si="0"/>
        <v>259600</v>
      </c>
      <c r="E31" s="1">
        <v>237600</v>
      </c>
      <c r="F31" s="1" t="s">
        <v>8</v>
      </c>
    </row>
    <row r="32" spans="1:6" x14ac:dyDescent="0.25">
      <c r="A32" s="2">
        <v>46227</v>
      </c>
      <c r="B32" s="1"/>
      <c r="C32" s="1"/>
      <c r="D32" s="10">
        <f t="shared" si="0"/>
        <v>0</v>
      </c>
      <c r="E32" s="1"/>
      <c r="F32" s="1"/>
    </row>
    <row r="33" spans="1:7" x14ac:dyDescent="0.25">
      <c r="A33" s="2">
        <v>46228</v>
      </c>
      <c r="B33" s="1"/>
      <c r="C33" s="1"/>
      <c r="D33" s="10">
        <f t="shared" si="0"/>
        <v>0</v>
      </c>
      <c r="E33" s="1">
        <v>125000</v>
      </c>
      <c r="F33" s="1" t="s">
        <v>7</v>
      </c>
    </row>
    <row r="34" spans="1:7" x14ac:dyDescent="0.25">
      <c r="A34" s="2">
        <v>46229</v>
      </c>
      <c r="B34" s="1"/>
      <c r="C34" s="1"/>
      <c r="D34" s="10">
        <f t="shared" si="0"/>
        <v>0</v>
      </c>
      <c r="E34" s="1"/>
      <c r="F34" s="1"/>
    </row>
    <row r="35" spans="1:7" x14ac:dyDescent="0.25">
      <c r="A35" s="2">
        <v>46230</v>
      </c>
      <c r="B35" s="1"/>
      <c r="C35" s="1"/>
      <c r="D35" s="10">
        <f t="shared" si="0"/>
        <v>0</v>
      </c>
      <c r="E35" s="1"/>
      <c r="F35" s="1"/>
    </row>
    <row r="36" spans="1:7" x14ac:dyDescent="0.25">
      <c r="A36" s="2">
        <v>46231</v>
      </c>
      <c r="B36" s="1">
        <v>3600</v>
      </c>
      <c r="C36" s="1">
        <v>540</v>
      </c>
      <c r="D36" s="10">
        <f t="shared" si="0"/>
        <v>51120</v>
      </c>
      <c r="E36" s="1">
        <v>90400</v>
      </c>
      <c r="F36" s="1" t="s">
        <v>10</v>
      </c>
    </row>
    <row r="37" spans="1:7" x14ac:dyDescent="0.25">
      <c r="A37" s="2">
        <v>46232</v>
      </c>
      <c r="B37" s="1"/>
      <c r="C37" s="1"/>
      <c r="D37" s="10">
        <f t="shared" si="0"/>
        <v>0</v>
      </c>
      <c r="E37" s="1"/>
      <c r="F37" s="1"/>
    </row>
    <row r="38" spans="1:7" x14ac:dyDescent="0.25">
      <c r="A38" s="2">
        <v>46233</v>
      </c>
      <c r="B38" s="1"/>
      <c r="C38" s="1"/>
      <c r="D38" s="10">
        <f t="shared" si="0"/>
        <v>0</v>
      </c>
      <c r="E38" s="1"/>
      <c r="F38" s="1"/>
      <c r="G38" t="s">
        <v>18</v>
      </c>
    </row>
    <row r="39" spans="1:7" x14ac:dyDescent="0.25">
      <c r="A39" s="2">
        <v>46234</v>
      </c>
      <c r="B39" s="1"/>
      <c r="C39" s="1"/>
      <c r="D39" s="10">
        <f t="shared" si="0"/>
        <v>0</v>
      </c>
      <c r="E39" s="1"/>
      <c r="F39" s="1"/>
    </row>
    <row r="40" spans="1:7" s="4" customFormat="1" x14ac:dyDescent="0.25">
      <c r="A40" s="3"/>
      <c r="B40" s="3">
        <f>SUM(B1:B39)</f>
        <v>2398953</v>
      </c>
      <c r="C40" s="3">
        <f>SUM(C1:C39)</f>
        <v>29417</v>
      </c>
      <c r="D40" s="9">
        <f>SUM(D2:D39)</f>
        <v>4987649</v>
      </c>
      <c r="E40" s="9">
        <f>SUM(E2:E39)</f>
        <v>1064237</v>
      </c>
      <c r="F40" s="3"/>
    </row>
    <row r="41" spans="1:7" x14ac:dyDescent="0.25">
      <c r="A41" s="2">
        <v>46235</v>
      </c>
      <c r="B41" s="1"/>
      <c r="C41" s="1"/>
      <c r="D41" s="1">
        <f>(C41*88)+B41</f>
        <v>0</v>
      </c>
      <c r="E41" s="1" t="s">
        <v>37</v>
      </c>
      <c r="F41" s="1"/>
    </row>
    <row r="42" spans="1:7" x14ac:dyDescent="0.25">
      <c r="A42" s="2">
        <v>46236</v>
      </c>
      <c r="B42" s="1"/>
      <c r="C42" s="1"/>
      <c r="D42" s="1">
        <f>(C42*88)+B42</f>
        <v>0</v>
      </c>
      <c r="E42" s="1"/>
      <c r="F42" s="1"/>
    </row>
    <row r="43" spans="1:7" x14ac:dyDescent="0.25">
      <c r="A43" s="2">
        <v>46237</v>
      </c>
      <c r="B43" s="1"/>
      <c r="C43" s="1"/>
      <c r="D43" s="1">
        <f t="shared" ref="D43:D106" si="1">(C43*88)+B43</f>
        <v>0</v>
      </c>
      <c r="E43" s="1"/>
      <c r="F43" s="1"/>
    </row>
    <row r="44" spans="1:7" x14ac:dyDescent="0.25">
      <c r="A44" s="2">
        <v>46238</v>
      </c>
      <c r="B44" s="1">
        <v>43500</v>
      </c>
      <c r="C44" s="1">
        <f>282+790</f>
        <v>1072</v>
      </c>
      <c r="D44" s="1">
        <f t="shared" si="1"/>
        <v>137836</v>
      </c>
      <c r="E44" s="1">
        <v>43500</v>
      </c>
      <c r="F44" s="1" t="s">
        <v>13</v>
      </c>
    </row>
    <row r="45" spans="1:7" x14ac:dyDescent="0.25">
      <c r="A45" s="2">
        <v>46239</v>
      </c>
      <c r="B45">
        <f>22000+51000+3150+1100</f>
        <v>77250</v>
      </c>
      <c r="C45">
        <v>239</v>
      </c>
      <c r="D45" s="1">
        <f t="shared" si="1"/>
        <v>98282</v>
      </c>
      <c r="F45" s="11" t="s">
        <v>26</v>
      </c>
    </row>
    <row r="46" spans="1:7" x14ac:dyDescent="0.25">
      <c r="A46" s="2">
        <v>46240</v>
      </c>
      <c r="D46" s="1">
        <f t="shared" si="1"/>
        <v>0</v>
      </c>
    </row>
    <row r="47" spans="1:7" x14ac:dyDescent="0.25">
      <c r="A47" s="2">
        <v>46241</v>
      </c>
      <c r="D47" s="1">
        <f t="shared" si="1"/>
        <v>0</v>
      </c>
    </row>
    <row r="48" spans="1:7" x14ac:dyDescent="0.25">
      <c r="A48" s="2">
        <v>46242</v>
      </c>
      <c r="D48" s="1">
        <f t="shared" si="1"/>
        <v>0</v>
      </c>
    </row>
    <row r="49" spans="1:9" x14ac:dyDescent="0.25">
      <c r="A49" s="2">
        <v>46243</v>
      </c>
      <c r="D49" s="1">
        <f t="shared" si="1"/>
        <v>0</v>
      </c>
      <c r="E49">
        <v>100000</v>
      </c>
      <c r="F49" t="s">
        <v>7</v>
      </c>
    </row>
    <row r="50" spans="1:9" x14ac:dyDescent="0.25">
      <c r="A50" s="2">
        <v>46244</v>
      </c>
      <c r="D50" s="1">
        <f t="shared" si="1"/>
        <v>0</v>
      </c>
    </row>
    <row r="51" spans="1:9" x14ac:dyDescent="0.25">
      <c r="A51" s="2">
        <v>46245</v>
      </c>
      <c r="D51" s="1">
        <f t="shared" si="1"/>
        <v>0</v>
      </c>
    </row>
    <row r="52" spans="1:9" x14ac:dyDescent="0.25">
      <c r="A52" s="2">
        <v>46246</v>
      </c>
      <c r="D52" s="1">
        <f t="shared" si="1"/>
        <v>0</v>
      </c>
      <c r="E52">
        <v>100000</v>
      </c>
      <c r="F52" t="s">
        <v>7</v>
      </c>
    </row>
    <row r="53" spans="1:9" x14ac:dyDescent="0.25">
      <c r="A53" s="2">
        <v>46247</v>
      </c>
      <c r="B53">
        <f>38000+27000+7800+24200+5100</f>
        <v>102100</v>
      </c>
      <c r="C53">
        <f>245+170+365+100+105+62+13+21+16</f>
        <v>1097</v>
      </c>
      <c r="D53" s="1">
        <f t="shared" si="1"/>
        <v>198636</v>
      </c>
      <c r="F53" t="s">
        <v>14</v>
      </c>
    </row>
    <row r="54" spans="1:9" x14ac:dyDescent="0.25">
      <c r="A54" s="2">
        <v>46248</v>
      </c>
      <c r="B54">
        <f>7800+850+440+12200</f>
        <v>21290</v>
      </c>
      <c r="D54" s="1">
        <f t="shared" si="1"/>
        <v>21290</v>
      </c>
      <c r="E54">
        <f>3700+1100</f>
        <v>4800</v>
      </c>
      <c r="F54" t="s">
        <v>15</v>
      </c>
    </row>
    <row r="55" spans="1:9" x14ac:dyDescent="0.25">
      <c r="A55" s="2">
        <v>46249</v>
      </c>
      <c r="D55" s="1">
        <f t="shared" si="1"/>
        <v>0</v>
      </c>
    </row>
    <row r="56" spans="1:9" x14ac:dyDescent="0.25">
      <c r="A56" s="2">
        <v>46250</v>
      </c>
      <c r="D56" s="1">
        <f t="shared" si="1"/>
        <v>0</v>
      </c>
    </row>
    <row r="57" spans="1:9" x14ac:dyDescent="0.25">
      <c r="A57" s="2">
        <v>46251</v>
      </c>
      <c r="B57">
        <v>12011</v>
      </c>
      <c r="D57" s="1">
        <f t="shared" si="1"/>
        <v>12011</v>
      </c>
      <c r="E57">
        <v>12011</v>
      </c>
      <c r="F57" t="s">
        <v>16</v>
      </c>
      <c r="G57" t="s">
        <v>17</v>
      </c>
    </row>
    <row r="58" spans="1:9" x14ac:dyDescent="0.25">
      <c r="A58" s="2">
        <v>46252</v>
      </c>
      <c r="D58" s="1">
        <f t="shared" si="1"/>
        <v>0</v>
      </c>
    </row>
    <row r="59" spans="1:9" x14ac:dyDescent="0.25">
      <c r="A59" s="2">
        <v>46253</v>
      </c>
      <c r="B59">
        <f>17000+5080</f>
        <v>22080</v>
      </c>
      <c r="C59">
        <v>1808</v>
      </c>
      <c r="D59" s="1">
        <f t="shared" si="1"/>
        <v>181184</v>
      </c>
      <c r="E59">
        <v>17000</v>
      </c>
      <c r="F59" t="s">
        <v>19</v>
      </c>
      <c r="I59" t="s">
        <v>18</v>
      </c>
    </row>
    <row r="60" spans="1:9" x14ac:dyDescent="0.25">
      <c r="A60" s="2">
        <v>46254</v>
      </c>
      <c r="D60" s="1">
        <f t="shared" si="1"/>
        <v>0</v>
      </c>
    </row>
    <row r="61" spans="1:9" x14ac:dyDescent="0.25">
      <c r="A61" s="2">
        <v>46255</v>
      </c>
      <c r="B61">
        <f>4324+77000+5000</f>
        <v>86324</v>
      </c>
      <c r="D61" s="1">
        <f t="shared" si="1"/>
        <v>86324</v>
      </c>
      <c r="E61" s="11">
        <v>22000</v>
      </c>
      <c r="F61" t="s">
        <v>20</v>
      </c>
    </row>
    <row r="62" spans="1:9" x14ac:dyDescent="0.25">
      <c r="A62" s="2">
        <v>46256</v>
      </c>
      <c r="D62" s="1">
        <f t="shared" si="1"/>
        <v>0</v>
      </c>
    </row>
    <row r="63" spans="1:9" x14ac:dyDescent="0.25">
      <c r="A63" s="2">
        <v>46257</v>
      </c>
      <c r="B63">
        <v>109230</v>
      </c>
      <c r="D63" s="1">
        <f t="shared" si="1"/>
        <v>109230</v>
      </c>
    </row>
    <row r="64" spans="1:9" x14ac:dyDescent="0.25">
      <c r="A64" s="2">
        <v>46258</v>
      </c>
      <c r="D64" s="1">
        <f t="shared" si="1"/>
        <v>0</v>
      </c>
    </row>
    <row r="65" spans="1:14" x14ac:dyDescent="0.25">
      <c r="A65" s="2">
        <v>46259</v>
      </c>
      <c r="D65" s="1">
        <f t="shared" si="1"/>
        <v>0</v>
      </c>
      <c r="G65" t="s">
        <v>24</v>
      </c>
    </row>
    <row r="66" spans="1:14" x14ac:dyDescent="0.25">
      <c r="A66" s="2">
        <v>46260</v>
      </c>
      <c r="D66" s="1">
        <f t="shared" si="1"/>
        <v>0</v>
      </c>
    </row>
    <row r="67" spans="1:14" x14ac:dyDescent="0.25">
      <c r="A67" s="2">
        <v>46261</v>
      </c>
      <c r="B67">
        <v>1250</v>
      </c>
      <c r="C67">
        <v>1509</v>
      </c>
      <c r="D67" s="1">
        <f t="shared" si="1"/>
        <v>134042</v>
      </c>
    </row>
    <row r="68" spans="1:14" x14ac:dyDescent="0.25">
      <c r="A68" s="2">
        <v>46262</v>
      </c>
      <c r="B68">
        <v>275000</v>
      </c>
      <c r="D68" s="1">
        <f t="shared" si="1"/>
        <v>275000</v>
      </c>
      <c r="E68" s="4">
        <v>275000</v>
      </c>
      <c r="F68" s="4" t="s">
        <v>21</v>
      </c>
    </row>
    <row r="69" spans="1:14" x14ac:dyDescent="0.25">
      <c r="A69" s="2">
        <v>46263</v>
      </c>
      <c r="B69" s="4">
        <v>317840</v>
      </c>
      <c r="D69" s="1">
        <f t="shared" si="1"/>
        <v>317840</v>
      </c>
      <c r="E69">
        <v>17500</v>
      </c>
      <c r="F69" t="s">
        <v>7</v>
      </c>
    </row>
    <row r="70" spans="1:14" x14ac:dyDescent="0.25">
      <c r="A70" s="2">
        <v>46264</v>
      </c>
      <c r="B70">
        <v>322000</v>
      </c>
      <c r="D70" s="1">
        <f t="shared" si="1"/>
        <v>322000</v>
      </c>
      <c r="E70" s="11">
        <v>49600</v>
      </c>
      <c r="F70" t="s">
        <v>22</v>
      </c>
      <c r="G70" s="11" t="s">
        <v>23</v>
      </c>
    </row>
    <row r="71" spans="1:14" s="6" customFormat="1" x14ac:dyDescent="0.25">
      <c r="A71" s="5">
        <v>46265</v>
      </c>
      <c r="D71" s="1">
        <f t="shared" si="1"/>
        <v>0</v>
      </c>
      <c r="K71" s="6" t="s">
        <v>31</v>
      </c>
      <c r="L71" s="6" t="s">
        <v>29</v>
      </c>
      <c r="M71" s="6" t="s">
        <v>30</v>
      </c>
    </row>
    <row r="72" spans="1:14" s="6" customFormat="1" x14ac:dyDescent="0.25">
      <c r="A72" s="5"/>
      <c r="B72" s="6">
        <f>SUM(B41:B71)</f>
        <v>1389875</v>
      </c>
      <c r="C72" s="6">
        <f>SUM(C41:C71)</f>
        <v>5725</v>
      </c>
      <c r="D72" s="1">
        <f t="shared" si="1"/>
        <v>1893675</v>
      </c>
      <c r="E72" s="6">
        <f>SUM(E41:E71)</f>
        <v>641411</v>
      </c>
      <c r="J72" s="6" t="s">
        <v>32</v>
      </c>
      <c r="K72" s="7">
        <f>B72-17000-4800-B69-B68-B57-B44+(C72*88)</f>
        <v>1223524</v>
      </c>
      <c r="L72" s="7">
        <v>217500</v>
      </c>
      <c r="M72" s="7">
        <v>71600</v>
      </c>
    </row>
    <row r="73" spans="1:14" x14ac:dyDescent="0.25">
      <c r="A73" s="2">
        <v>46266</v>
      </c>
      <c r="B73">
        <f>22000+6500</f>
        <v>28500</v>
      </c>
      <c r="D73" s="1">
        <f t="shared" si="1"/>
        <v>28500</v>
      </c>
      <c r="E73" s="4">
        <v>6500</v>
      </c>
      <c r="F73" t="s">
        <v>25</v>
      </c>
      <c r="J73" t="s">
        <v>33</v>
      </c>
      <c r="K73" s="8">
        <f>D73+D75+D76+D77+D78+D79+D84+D86+D88+D89+D91+D94+D98+D99+D101+D102</f>
        <v>1440248</v>
      </c>
      <c r="L73" s="8">
        <f>E84+E89+E94+E102</f>
        <v>525460</v>
      </c>
      <c r="M73" s="8">
        <f>E74+G102</f>
        <v>87520</v>
      </c>
    </row>
    <row r="74" spans="1:14" x14ac:dyDescent="0.25">
      <c r="A74" s="2">
        <v>46267</v>
      </c>
      <c r="D74" s="1">
        <f t="shared" si="1"/>
        <v>0</v>
      </c>
      <c r="E74">
        <v>58520</v>
      </c>
      <c r="F74" t="s">
        <v>34</v>
      </c>
      <c r="G74" t="s">
        <v>18</v>
      </c>
      <c r="H74" t="s">
        <v>18</v>
      </c>
      <c r="J74" t="s">
        <v>35</v>
      </c>
      <c r="K74" s="8">
        <f>SUM(K72:K73)</f>
        <v>2663772</v>
      </c>
      <c r="L74" s="8">
        <f>SUM(L72:L73)</f>
        <v>742960</v>
      </c>
      <c r="M74" s="8">
        <f>SUM(M72:M73)</f>
        <v>159120</v>
      </c>
      <c r="N74" s="8">
        <f>K74-L74-M74</f>
        <v>1761692</v>
      </c>
    </row>
    <row r="75" spans="1:14" x14ac:dyDescent="0.25">
      <c r="A75" s="2">
        <v>46268</v>
      </c>
      <c r="C75">
        <v>1000</v>
      </c>
      <c r="D75" s="1">
        <f t="shared" si="1"/>
        <v>88000</v>
      </c>
      <c r="E75">
        <v>318000</v>
      </c>
      <c r="F75" t="s">
        <v>27</v>
      </c>
    </row>
    <row r="76" spans="1:14" x14ac:dyDescent="0.25">
      <c r="A76" s="2">
        <v>46269</v>
      </c>
      <c r="B76">
        <v>205900</v>
      </c>
      <c r="D76" s="1">
        <f t="shared" si="1"/>
        <v>205900</v>
      </c>
    </row>
    <row r="77" spans="1:14" x14ac:dyDescent="0.25">
      <c r="A77" s="2">
        <v>46270</v>
      </c>
      <c r="B77">
        <v>84350</v>
      </c>
      <c r="D77" s="1">
        <f t="shared" si="1"/>
        <v>84350</v>
      </c>
    </row>
    <row r="78" spans="1:14" x14ac:dyDescent="0.25">
      <c r="A78" s="2">
        <v>46271</v>
      </c>
      <c r="B78">
        <v>19320</v>
      </c>
      <c r="D78" s="1">
        <f t="shared" si="1"/>
        <v>19320</v>
      </c>
    </row>
    <row r="79" spans="1:14" x14ac:dyDescent="0.25">
      <c r="A79" s="2">
        <v>46272</v>
      </c>
      <c r="B79">
        <v>11000</v>
      </c>
      <c r="D79" s="1">
        <f t="shared" si="1"/>
        <v>11000</v>
      </c>
    </row>
    <row r="80" spans="1:14" x14ac:dyDescent="0.25">
      <c r="A80" s="2">
        <v>46273</v>
      </c>
      <c r="D80" s="1">
        <f t="shared" si="1"/>
        <v>0</v>
      </c>
    </row>
    <row r="81" spans="1:8" x14ac:dyDescent="0.25">
      <c r="A81" s="2">
        <v>46274</v>
      </c>
      <c r="D81" s="1">
        <f t="shared" si="1"/>
        <v>0</v>
      </c>
    </row>
    <row r="82" spans="1:8" x14ac:dyDescent="0.25">
      <c r="A82" s="2">
        <v>46275</v>
      </c>
      <c r="D82" s="1">
        <f t="shared" si="1"/>
        <v>0</v>
      </c>
    </row>
    <row r="83" spans="1:8" x14ac:dyDescent="0.25">
      <c r="A83" s="2">
        <v>46276</v>
      </c>
      <c r="D83" s="1">
        <f t="shared" si="1"/>
        <v>0</v>
      </c>
    </row>
    <row r="84" spans="1:8" x14ac:dyDescent="0.25">
      <c r="A84" s="2">
        <v>46277</v>
      </c>
      <c r="B84">
        <f>134800+2200</f>
        <v>137000</v>
      </c>
      <c r="D84" s="1">
        <f t="shared" si="1"/>
        <v>137000</v>
      </c>
      <c r="E84">
        <v>160000</v>
      </c>
      <c r="F84" t="s">
        <v>7</v>
      </c>
    </row>
    <row r="85" spans="1:8" x14ac:dyDescent="0.25">
      <c r="A85" s="2">
        <v>46278</v>
      </c>
      <c r="D85" s="1">
        <f t="shared" si="1"/>
        <v>0</v>
      </c>
    </row>
    <row r="86" spans="1:8" x14ac:dyDescent="0.25">
      <c r="A86" s="2">
        <v>46279</v>
      </c>
      <c r="B86">
        <v>66350</v>
      </c>
      <c r="D86" s="1">
        <f t="shared" si="1"/>
        <v>66350</v>
      </c>
    </row>
    <row r="87" spans="1:8" x14ac:dyDescent="0.25">
      <c r="A87" s="2">
        <v>46280</v>
      </c>
      <c r="B87" s="4">
        <v>23000</v>
      </c>
      <c r="C87" s="4"/>
      <c r="D87" s="3">
        <f t="shared" si="1"/>
        <v>23000</v>
      </c>
      <c r="E87" s="4">
        <v>23000</v>
      </c>
      <c r="F87" t="s">
        <v>36</v>
      </c>
    </row>
    <row r="88" spans="1:8" x14ac:dyDescent="0.25">
      <c r="A88" s="2">
        <v>46281</v>
      </c>
      <c r="B88">
        <v>27770</v>
      </c>
      <c r="D88" s="1">
        <f t="shared" si="1"/>
        <v>27770</v>
      </c>
    </row>
    <row r="89" spans="1:8" x14ac:dyDescent="0.25">
      <c r="A89" s="2">
        <v>46282</v>
      </c>
      <c r="B89">
        <f>75600+10100</f>
        <v>85700</v>
      </c>
      <c r="D89" s="1">
        <f t="shared" si="1"/>
        <v>85700</v>
      </c>
      <c r="E89">
        <v>140000</v>
      </c>
      <c r="F89" t="s">
        <v>7</v>
      </c>
    </row>
    <row r="90" spans="1:8" x14ac:dyDescent="0.25">
      <c r="A90" s="2">
        <v>46283</v>
      </c>
      <c r="D90" s="1">
        <f t="shared" si="1"/>
        <v>0</v>
      </c>
    </row>
    <row r="91" spans="1:8" x14ac:dyDescent="0.25">
      <c r="A91" s="2">
        <v>46284</v>
      </c>
      <c r="B91">
        <v>34320</v>
      </c>
      <c r="D91" s="1">
        <f t="shared" si="1"/>
        <v>34320</v>
      </c>
    </row>
    <row r="92" spans="1:8" x14ac:dyDescent="0.25">
      <c r="A92" s="2">
        <v>46285</v>
      </c>
      <c r="D92" s="1">
        <f t="shared" si="1"/>
        <v>0</v>
      </c>
    </row>
    <row r="93" spans="1:8" x14ac:dyDescent="0.25">
      <c r="A93" s="2">
        <v>46286</v>
      </c>
      <c r="B93" s="4">
        <f>20672+17575</f>
        <v>38247</v>
      </c>
      <c r="C93" s="4"/>
      <c r="D93" s="3">
        <f t="shared" si="1"/>
        <v>38247</v>
      </c>
      <c r="E93" s="4">
        <v>38247</v>
      </c>
      <c r="F93" t="s">
        <v>36</v>
      </c>
    </row>
    <row r="94" spans="1:8" x14ac:dyDescent="0.25">
      <c r="A94" s="2">
        <v>46287</v>
      </c>
      <c r="B94">
        <v>108144</v>
      </c>
      <c r="D94" s="1">
        <f t="shared" si="1"/>
        <v>108144</v>
      </c>
      <c r="E94">
        <v>110000</v>
      </c>
      <c r="F94" t="s">
        <v>7</v>
      </c>
    </row>
    <row r="95" spans="1:8" x14ac:dyDescent="0.25">
      <c r="A95" s="2">
        <v>46288</v>
      </c>
      <c r="B95" s="4">
        <v>300520</v>
      </c>
      <c r="C95" s="4"/>
      <c r="D95" s="3">
        <f t="shared" si="1"/>
        <v>300520</v>
      </c>
      <c r="E95" s="4">
        <v>180000</v>
      </c>
      <c r="F95" t="s">
        <v>27</v>
      </c>
      <c r="H95" t="s">
        <v>38</v>
      </c>
    </row>
    <row r="96" spans="1:8" x14ac:dyDescent="0.25">
      <c r="A96" s="2">
        <v>46289</v>
      </c>
      <c r="D96" s="1">
        <f t="shared" si="1"/>
        <v>0</v>
      </c>
    </row>
    <row r="97" spans="1:11" x14ac:dyDescent="0.25">
      <c r="A97" s="2">
        <v>46290</v>
      </c>
      <c r="D97" s="1">
        <f t="shared" si="1"/>
        <v>0</v>
      </c>
    </row>
    <row r="98" spans="1:11" x14ac:dyDescent="0.25">
      <c r="A98" s="2">
        <v>46291</v>
      </c>
      <c r="B98">
        <v>209620</v>
      </c>
      <c r="C98">
        <v>1300</v>
      </c>
      <c r="D98" s="1">
        <f t="shared" si="1"/>
        <v>324020</v>
      </c>
      <c r="E98" s="12">
        <v>120520</v>
      </c>
      <c r="F98" t="s">
        <v>27</v>
      </c>
    </row>
    <row r="99" spans="1:11" x14ac:dyDescent="0.25">
      <c r="A99" s="2">
        <v>46292</v>
      </c>
      <c r="B99">
        <v>95830</v>
      </c>
      <c r="D99" s="1">
        <f t="shared" si="1"/>
        <v>95830</v>
      </c>
      <c r="K99" t="s">
        <v>18</v>
      </c>
    </row>
    <row r="100" spans="1:11" x14ac:dyDescent="0.25">
      <c r="A100" s="2">
        <v>46293</v>
      </c>
      <c r="B100" s="4">
        <v>30460</v>
      </c>
      <c r="C100" s="4"/>
      <c r="D100" s="3">
        <f t="shared" si="1"/>
        <v>30460</v>
      </c>
      <c r="E100" s="4">
        <v>30460</v>
      </c>
      <c r="F100" t="s">
        <v>19</v>
      </c>
    </row>
    <row r="101" spans="1:11" x14ac:dyDescent="0.25">
      <c r="A101" s="2">
        <v>46294</v>
      </c>
      <c r="B101" s="4">
        <f>36530+2200</f>
        <v>38730</v>
      </c>
      <c r="C101" s="4"/>
      <c r="D101" s="3">
        <f t="shared" si="1"/>
        <v>38730</v>
      </c>
      <c r="E101" s="4">
        <v>18744</v>
      </c>
      <c r="F101" t="s">
        <v>39</v>
      </c>
    </row>
    <row r="102" spans="1:11" x14ac:dyDescent="0.25">
      <c r="A102" s="2">
        <v>46295</v>
      </c>
      <c r="B102">
        <f>66570+18744</f>
        <v>85314</v>
      </c>
      <c r="D102" s="1">
        <f t="shared" si="1"/>
        <v>85314</v>
      </c>
      <c r="E102">
        <f>14960+2000+57000+41500</f>
        <v>115460</v>
      </c>
      <c r="F102" t="s">
        <v>7</v>
      </c>
      <c r="G102">
        <v>29000</v>
      </c>
      <c r="H102" t="s">
        <v>40</v>
      </c>
    </row>
    <row r="103" spans="1:11" s="11" customFormat="1" x14ac:dyDescent="0.25">
      <c r="A103" s="13"/>
      <c r="B103" s="11">
        <f>SUM(B73:B102)</f>
        <v>1630075</v>
      </c>
      <c r="C103" s="11">
        <f>SUM(C73:C102)</f>
        <v>2300</v>
      </c>
      <c r="D103" s="11">
        <f>SUM(D73:D102)</f>
        <v>1832475</v>
      </c>
    </row>
    <row r="104" spans="1:11" x14ac:dyDescent="0.25">
      <c r="A104" s="2">
        <v>46296</v>
      </c>
      <c r="B104">
        <v>169010</v>
      </c>
      <c r="D104" s="1">
        <f t="shared" si="1"/>
        <v>169010</v>
      </c>
      <c r="E104">
        <v>850</v>
      </c>
      <c r="F104" t="s">
        <v>41</v>
      </c>
    </row>
    <row r="105" spans="1:11" x14ac:dyDescent="0.25">
      <c r="A105" s="2">
        <v>46297</v>
      </c>
      <c r="D105" s="1">
        <f t="shared" si="1"/>
        <v>0</v>
      </c>
      <c r="E105">
        <v>3100</v>
      </c>
      <c r="F105" t="s">
        <v>7</v>
      </c>
      <c r="G105" t="s">
        <v>42</v>
      </c>
    </row>
    <row r="106" spans="1:11" x14ac:dyDescent="0.25">
      <c r="A106" s="2">
        <v>46298</v>
      </c>
      <c r="B106">
        <v>0</v>
      </c>
      <c r="C106">
        <v>0</v>
      </c>
      <c r="D106" s="1">
        <f t="shared" si="1"/>
        <v>0</v>
      </c>
    </row>
    <row r="107" spans="1:11" x14ac:dyDescent="0.25">
      <c r="A107" s="2">
        <v>46299</v>
      </c>
      <c r="B107">
        <v>162738</v>
      </c>
      <c r="D107" s="1">
        <f t="shared" ref="D107:D133" si="2">(C107*88)+B107</f>
        <v>162738</v>
      </c>
      <c r="E107">
        <f xml:space="preserve"> 41500+27280+22530</f>
        <v>91310</v>
      </c>
      <c r="F107" t="s">
        <v>43</v>
      </c>
    </row>
    <row r="108" spans="1:11" x14ac:dyDescent="0.25">
      <c r="A108" s="2">
        <v>46300</v>
      </c>
      <c r="B108" s="4">
        <v>22500</v>
      </c>
      <c r="C108" s="4"/>
      <c r="D108" s="3">
        <f t="shared" si="2"/>
        <v>22500</v>
      </c>
      <c r="E108" s="4">
        <v>22500</v>
      </c>
      <c r="F108" t="s">
        <v>44</v>
      </c>
    </row>
    <row r="109" spans="1:11" x14ac:dyDescent="0.25">
      <c r="A109" s="2">
        <v>46301</v>
      </c>
      <c r="B109" s="4">
        <v>22006</v>
      </c>
      <c r="C109" s="4"/>
      <c r="D109" s="3">
        <f t="shared" si="2"/>
        <v>22006</v>
      </c>
      <c r="E109" s="4">
        <v>22006</v>
      </c>
      <c r="F109" t="s">
        <v>9</v>
      </c>
    </row>
    <row r="110" spans="1:11" x14ac:dyDescent="0.25">
      <c r="A110" s="2">
        <v>46302</v>
      </c>
      <c r="B110">
        <v>28900</v>
      </c>
      <c r="D110" s="1">
        <f t="shared" si="2"/>
        <v>28900</v>
      </c>
      <c r="E110">
        <v>12000</v>
      </c>
      <c r="F110" t="s">
        <v>7</v>
      </c>
    </row>
    <row r="111" spans="1:11" x14ac:dyDescent="0.25">
      <c r="A111" s="2">
        <v>46303</v>
      </c>
      <c r="D111" s="1">
        <f t="shared" si="2"/>
        <v>0</v>
      </c>
    </row>
    <row r="112" spans="1:11" x14ac:dyDescent="0.25">
      <c r="A112" s="2">
        <v>46304</v>
      </c>
      <c r="B112" s="4">
        <v>34000</v>
      </c>
      <c r="C112" s="4"/>
      <c r="D112" s="3">
        <f t="shared" si="2"/>
        <v>34000</v>
      </c>
      <c r="E112" s="4">
        <v>34000</v>
      </c>
      <c r="F112" t="s">
        <v>45</v>
      </c>
    </row>
    <row r="113" spans="1:7" x14ac:dyDescent="0.25">
      <c r="A113" s="2">
        <v>46305</v>
      </c>
      <c r="B113">
        <v>8000</v>
      </c>
      <c r="D113" s="1">
        <f t="shared" si="2"/>
        <v>8000</v>
      </c>
      <c r="E113">
        <f>12220+60280+70930</f>
        <v>143430</v>
      </c>
      <c r="F113" t="s">
        <v>7</v>
      </c>
    </row>
    <row r="114" spans="1:7" x14ac:dyDescent="0.25">
      <c r="A114" s="2">
        <v>46306</v>
      </c>
      <c r="B114">
        <v>55230</v>
      </c>
      <c r="D114" s="1">
        <f t="shared" si="2"/>
        <v>55230</v>
      </c>
      <c r="E114">
        <f>42600+18800+100000</f>
        <v>161400</v>
      </c>
      <c r="F114" t="s">
        <v>7</v>
      </c>
    </row>
    <row r="115" spans="1:7" x14ac:dyDescent="0.25">
      <c r="A115" s="2">
        <v>46307</v>
      </c>
      <c r="B115">
        <v>84480</v>
      </c>
      <c r="D115" s="1">
        <f t="shared" si="2"/>
        <v>84480</v>
      </c>
    </row>
    <row r="116" spans="1:7" x14ac:dyDescent="0.25">
      <c r="A116" s="2">
        <v>46308</v>
      </c>
      <c r="B116" s="4">
        <v>162000</v>
      </c>
      <c r="D116" s="1">
        <f t="shared" si="2"/>
        <v>162000</v>
      </c>
      <c r="E116">
        <v>50000</v>
      </c>
      <c r="F116" t="s">
        <v>7</v>
      </c>
      <c r="G116" s="14" t="s">
        <v>46</v>
      </c>
    </row>
    <row r="117" spans="1:7" x14ac:dyDescent="0.25">
      <c r="A117" s="2">
        <v>46309</v>
      </c>
      <c r="B117">
        <v>44400</v>
      </c>
      <c r="D117" s="1">
        <f t="shared" si="2"/>
        <v>44400</v>
      </c>
    </row>
    <row r="118" spans="1:7" x14ac:dyDescent="0.25">
      <c r="A118" s="2">
        <v>46310</v>
      </c>
      <c r="B118">
        <v>16000</v>
      </c>
      <c r="D118" s="1">
        <f t="shared" si="2"/>
        <v>16000</v>
      </c>
    </row>
    <row r="119" spans="1:7" x14ac:dyDescent="0.25">
      <c r="A119" s="2">
        <v>46311</v>
      </c>
      <c r="D119" s="1">
        <f t="shared" si="2"/>
        <v>0</v>
      </c>
    </row>
    <row r="120" spans="1:7" x14ac:dyDescent="0.25">
      <c r="A120" s="2">
        <v>46312</v>
      </c>
      <c r="D120" s="1">
        <f t="shared" si="2"/>
        <v>0</v>
      </c>
    </row>
    <row r="121" spans="1:7" x14ac:dyDescent="0.25">
      <c r="A121" s="2">
        <v>46313</v>
      </c>
      <c r="B121" s="4">
        <v>378664</v>
      </c>
      <c r="D121" s="1">
        <f t="shared" si="2"/>
        <v>378664</v>
      </c>
      <c r="G121" t="s">
        <v>47</v>
      </c>
    </row>
    <row r="122" spans="1:7" x14ac:dyDescent="0.25">
      <c r="A122" s="2">
        <v>46314</v>
      </c>
      <c r="B122">
        <v>44850</v>
      </c>
      <c r="D122" s="1">
        <f t="shared" si="2"/>
        <v>44850</v>
      </c>
    </row>
    <row r="123" spans="1:7" x14ac:dyDescent="0.25">
      <c r="A123" s="2">
        <v>46315</v>
      </c>
      <c r="D123" s="1">
        <f t="shared" si="2"/>
        <v>0</v>
      </c>
    </row>
    <row r="124" spans="1:7" x14ac:dyDescent="0.25">
      <c r="A124" s="2">
        <v>46316</v>
      </c>
      <c r="B124">
        <v>104920</v>
      </c>
      <c r="D124" s="1">
        <f t="shared" si="2"/>
        <v>104920</v>
      </c>
      <c r="E124">
        <v>46000</v>
      </c>
      <c r="F124" t="s">
        <v>48</v>
      </c>
    </row>
    <row r="125" spans="1:7" x14ac:dyDescent="0.25">
      <c r="A125" s="2">
        <v>46317</v>
      </c>
      <c r="B125">
        <v>196510</v>
      </c>
      <c r="D125" s="1">
        <f t="shared" si="2"/>
        <v>196510</v>
      </c>
    </row>
    <row r="126" spans="1:7" x14ac:dyDescent="0.25">
      <c r="A126" s="2">
        <v>46318</v>
      </c>
      <c r="B126" s="4">
        <v>120000</v>
      </c>
      <c r="D126" s="1">
        <f t="shared" si="2"/>
        <v>120000</v>
      </c>
      <c r="E126" s="4">
        <v>120000</v>
      </c>
      <c r="F126" t="s">
        <v>49</v>
      </c>
    </row>
    <row r="127" spans="1:7" x14ac:dyDescent="0.25">
      <c r="A127" s="2">
        <v>46319</v>
      </c>
      <c r="B127">
        <v>17800</v>
      </c>
      <c r="D127" s="1">
        <f t="shared" si="2"/>
        <v>17800</v>
      </c>
      <c r="E127">
        <v>21300</v>
      </c>
      <c r="F127" t="s">
        <v>7</v>
      </c>
    </row>
    <row r="128" spans="1:7" x14ac:dyDescent="0.25">
      <c r="A128" s="2">
        <v>46320</v>
      </c>
      <c r="D128" s="1">
        <f t="shared" si="2"/>
        <v>0</v>
      </c>
    </row>
    <row r="129" spans="1:4" x14ac:dyDescent="0.25">
      <c r="A129" s="2">
        <v>46321</v>
      </c>
      <c r="D129" s="1">
        <f t="shared" si="2"/>
        <v>0</v>
      </c>
    </row>
    <row r="130" spans="1:4" x14ac:dyDescent="0.25">
      <c r="A130" s="2">
        <v>46322</v>
      </c>
      <c r="D130" s="1">
        <f t="shared" si="2"/>
        <v>0</v>
      </c>
    </row>
    <row r="131" spans="1:4" x14ac:dyDescent="0.25">
      <c r="A131" s="2">
        <v>46323</v>
      </c>
      <c r="D131" s="1">
        <f t="shared" si="2"/>
        <v>0</v>
      </c>
    </row>
    <row r="132" spans="1:4" x14ac:dyDescent="0.25">
      <c r="A132" s="2">
        <v>46324</v>
      </c>
      <c r="D132" s="1">
        <f t="shared" si="2"/>
        <v>0</v>
      </c>
    </row>
    <row r="133" spans="1:4" x14ac:dyDescent="0.25">
      <c r="A133" s="2">
        <v>46325</v>
      </c>
      <c r="D133" s="1">
        <f t="shared" si="2"/>
        <v>0</v>
      </c>
    </row>
  </sheetData>
  <pageMargins left="0.7" right="0.7" top="0.75" bottom="0.75" header="0.3" footer="0.3"/>
  <pageSetup paperSize="9" orientation="portrait" r:id="rId1"/>
  <ignoredErrors>
    <ignoredError sqref="D4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2026-08-01T05:37:25Z</cp:lastPrinted>
  <dcterms:created xsi:type="dcterms:W3CDTF">2026-07-26T05:51:14Z</dcterms:created>
  <dcterms:modified xsi:type="dcterms:W3CDTF">2026-10-26T11:51:51Z</dcterms:modified>
</cp:coreProperties>
</file>